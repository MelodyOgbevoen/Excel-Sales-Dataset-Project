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0" documentId="8_{52247D14-585C-4CE9-9256-020CA37DACD2}" xr6:coauthVersionLast="47" xr6:coauthVersionMax="47" xr10:uidLastSave="{00000000-0000-0000-0000-000000000000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4" i="1"/>
  <c r="E26" i="1" a="1"/>
  <c r="E26" i="1"/>
  <c r="E27" i="1" a="1"/>
  <c r="E27" i="1"/>
  <c r="E28" i="1" a="1"/>
  <c r="E28" i="1"/>
  <c r="E25" i="1" a="1"/>
  <c r="E25" i="1" s="1"/>
  <c r="E20" i="1" a="1"/>
  <c r="E20" i="1"/>
  <c r="E21" i="1" a="1"/>
  <c r="E21" i="1"/>
  <c r="E22" i="1" a="1"/>
  <c r="E22" i="1"/>
  <c r="E23" i="1" a="1"/>
  <c r="E23" i="1"/>
  <c r="E24" i="1" a="1"/>
  <c r="E2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<sst xmlns="http://schemas.openxmlformats.org/spreadsheetml/2006/main" count="52" uniqueCount="52">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</sst>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J46"/>
  <sheetViews>
    <sheetView tabSelected="1" workbookViewId="0">
      <selection activeCell="E4" sqref="E4"/>
    </sheetView>
  </sheetViews>
  <sheetFormatPr defaultRowHeight="15"/>
  <cols>
    <col min="1" max="1" width="18.7109375" customWidth="1"/>
    <col min="2" max="2" width="22.42578125" bestFit="1" customWidth="1"/>
    <col min="3" max="3" width="9" bestFit="1" customWidth="1"/>
    <col min="4" max="4" width="9.85546875" bestFit="1" customWidth="1"/>
    <col min="5" max="5" width="12.5703125" bestFit="1" customWidth="1"/>
    <col min="9" max="9" width="24" bestFit="1" customWidth="1"/>
    <col min="10" max="10" width="26" bestFit="1" customWidth="1"/>
  </cols>
  <sheetData>
    <row r="1" spans="1:10" ht="23.25">
      <c r="A1" s="2" t="s">
        <v>0</v>
      </c>
    </row>
    <row r="3" spans="1:10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10">
      <c r="A4" t="s">
        <v>6</v>
      </c>
      <c r="B4" t="s">
        <v>7</v>
      </c>
      <c r="C4" s="3">
        <v>12</v>
      </c>
      <c r="D4">
        <v>3</v>
      </c>
      <c r="E4" s="6" cm="1">
        <f t="array" ref="E4">_xlfn.SWITCH(D4, 1, 95, 2, 110, 3, 129, 4, 156, 5, "157 and over", "Unknown")</f>
        <v>129</v>
      </c>
      <c r="I4" t="s">
        <v>8</v>
      </c>
    </row>
    <row r="5" spans="1:10">
      <c r="A5" t="s">
        <v>9</v>
      </c>
      <c r="B5" t="s">
        <v>10</v>
      </c>
      <c r="C5" s="3">
        <v>1</v>
      </c>
      <c r="D5">
        <v>3</v>
      </c>
      <c r="E5" s="6" cm="1">
        <f t="array" ref="E5">_xlfn.SWITCH(D5, 1, 95, 2, 110, 3, 129, 4, 156, 5, "157 and over", "Unknown")</f>
        <v>129</v>
      </c>
      <c r="I5" s="1" t="s">
        <v>11</v>
      </c>
      <c r="J5" s="1" t="s">
        <v>12</v>
      </c>
    </row>
    <row r="6" spans="1:10">
      <c r="A6" t="s">
        <v>13</v>
      </c>
      <c r="B6" t="s">
        <v>14</v>
      </c>
      <c r="C6" s="3">
        <v>5</v>
      </c>
      <c r="D6">
        <v>4</v>
      </c>
      <c r="E6" s="6" cm="1">
        <f t="array" ref="E6">_xlfn.SWITCH(D6, 1, 95, 2, 110, 3, 129, 4, 156, 5, "157 and over", "Unknown")</f>
        <v>156</v>
      </c>
      <c r="I6">
        <v>5</v>
      </c>
      <c r="J6" t="s">
        <v>15</v>
      </c>
    </row>
    <row r="7" spans="1:10">
      <c r="A7" t="s">
        <v>16</v>
      </c>
      <c r="B7" t="s">
        <v>17</v>
      </c>
      <c r="C7" s="3">
        <v>20</v>
      </c>
      <c r="D7">
        <v>4</v>
      </c>
      <c r="E7" s="6" cm="1">
        <f t="array" ref="E7">_xlfn.SWITCH(D7, 1, 95, 2, 110, 3, 129, 4, 156, 5, "157 and over", "Unknown")</f>
        <v>156</v>
      </c>
      <c r="I7">
        <v>4</v>
      </c>
      <c r="J7" s="4">
        <v>156</v>
      </c>
    </row>
    <row r="8" spans="1:10">
      <c r="A8" t="s">
        <v>18</v>
      </c>
      <c r="B8" t="s">
        <v>19</v>
      </c>
      <c r="C8" s="3">
        <v>20</v>
      </c>
      <c r="D8">
        <v>4</v>
      </c>
      <c r="E8" s="6" cm="1">
        <f t="array" ref="E8">_xlfn.SWITCH(D8, 1, 95, 2, 110, 3, 129, 4, 156, 5, "157 and over", "Unknown")</f>
        <v>156</v>
      </c>
      <c r="I8">
        <v>3</v>
      </c>
      <c r="J8" s="4">
        <v>129</v>
      </c>
    </row>
    <row r="9" spans="1:10">
      <c r="A9" t="s">
        <v>20</v>
      </c>
      <c r="B9" t="s">
        <v>21</v>
      </c>
      <c r="C9" s="3">
        <v>50</v>
      </c>
      <c r="D9">
        <v>3</v>
      </c>
      <c r="E9" s="6" cm="1">
        <f t="array" ref="E9">_xlfn.SWITCH(D9, 1, 95, 2, 110, 3, 129, 4, 156, 5, "157 and over", "Unknown")</f>
        <v>129</v>
      </c>
      <c r="I9">
        <v>2</v>
      </c>
      <c r="J9" s="4">
        <v>110</v>
      </c>
    </row>
    <row r="10" spans="1:10">
      <c r="A10" t="s">
        <v>22</v>
      </c>
      <c r="B10" t="s">
        <v>23</v>
      </c>
      <c r="C10" s="3">
        <v>100</v>
      </c>
      <c r="D10">
        <v>5</v>
      </c>
      <c r="E10" s="6" t="str" cm="1">
        <f t="array" ref="E10">_xlfn.SWITCH(D10, 1, 95, 2, 110, 3, 129, 4, 156, 5, "157 and over", "Unknown")</f>
        <v>157 and over</v>
      </c>
      <c r="I10">
        <v>1</v>
      </c>
      <c r="J10" s="4">
        <v>95</v>
      </c>
    </row>
    <row r="11" spans="1:10">
      <c r="A11" t="s">
        <v>24</v>
      </c>
      <c r="B11" t="s">
        <v>25</v>
      </c>
      <c r="C11" s="3">
        <v>50</v>
      </c>
      <c r="D11">
        <v>4</v>
      </c>
      <c r="E11" s="6" cm="1">
        <f t="array" ref="E11">_xlfn.SWITCH(D11, 1, 95, 2, 110, 3, 129, 4, 156, 5, "157 and over", "Unknown")</f>
        <v>156</v>
      </c>
    </row>
    <row r="12" spans="1:10">
      <c r="A12" t="s">
        <v>26</v>
      </c>
      <c r="B12" t="s">
        <v>27</v>
      </c>
      <c r="C12" s="3">
        <v>7.5</v>
      </c>
      <c r="D12">
        <v>4</v>
      </c>
      <c r="E12" s="6" cm="1">
        <f t="array" ref="E12">_xlfn.SWITCH(D12, 1, 95, 2, 110, 3, 129, 4, 156, 5, "157 and over", "Unknown")</f>
        <v>156</v>
      </c>
    </row>
    <row r="13" spans="1:10">
      <c r="A13" t="s">
        <v>28</v>
      </c>
      <c r="B13" t="s">
        <v>29</v>
      </c>
      <c r="C13" s="3">
        <v>40</v>
      </c>
      <c r="D13">
        <v>5</v>
      </c>
      <c r="E13" s="6" t="str" cm="1">
        <f t="array" ref="E13">_xlfn.SWITCH(D13, 1, 95, 2, 110, 3, 129, 4, 156, 5, "157 and over", "Unknown")</f>
        <v>157 and over</v>
      </c>
    </row>
    <row r="14" spans="1:10">
      <c r="A14" t="s">
        <v>30</v>
      </c>
      <c r="B14" t="s">
        <v>31</v>
      </c>
      <c r="C14" s="3">
        <v>2.6</v>
      </c>
      <c r="D14">
        <v>2</v>
      </c>
      <c r="E14" s="6" cm="1">
        <f t="array" ref="E14">_xlfn.SWITCH(D14, 1, 95, 2, 110, 3, 129, 4, 156, 5, "157 and over", "Unknown")</f>
        <v>110</v>
      </c>
    </row>
    <row r="15" spans="1:10">
      <c r="A15" t="s">
        <v>32</v>
      </c>
      <c r="B15" t="s">
        <v>33</v>
      </c>
      <c r="C15" s="3">
        <v>16</v>
      </c>
      <c r="D15">
        <v>1</v>
      </c>
      <c r="E15" s="6" cm="1">
        <f t="array" ref="E15">_xlfn.SWITCH(D15, 1, 95, 2, 110, 3, 129, 4, 156, 5, "157 and over", "Unknown")</f>
        <v>95</v>
      </c>
    </row>
    <row r="16" spans="1:10">
      <c r="A16" t="s">
        <v>34</v>
      </c>
      <c r="B16" t="s">
        <v>35</v>
      </c>
      <c r="C16" s="3">
        <v>529</v>
      </c>
      <c r="D16">
        <v>4</v>
      </c>
      <c r="E16" s="6" cm="1">
        <f t="array" ref="E16">_xlfn.SWITCH(D16, 1, 95, 2, 110, 3, 129, 4, 156, 5, "157 and over", "Unknown")</f>
        <v>156</v>
      </c>
    </row>
    <row r="17" spans="1:5">
      <c r="A17" t="s">
        <v>36</v>
      </c>
      <c r="B17" t="s">
        <v>37</v>
      </c>
      <c r="C17" s="3">
        <v>1800</v>
      </c>
      <c r="D17">
        <v>2</v>
      </c>
      <c r="E17" s="6" cm="1">
        <f t="array" ref="E17">_xlfn.SWITCH(D17, 1, 95, 2, 110, 3, 129, 4, 156, 5, "157 and over", "Unknown")</f>
        <v>110</v>
      </c>
    </row>
    <row r="18" spans="1:5">
      <c r="A18" t="s">
        <v>38</v>
      </c>
      <c r="B18" t="s">
        <v>39</v>
      </c>
      <c r="C18" s="3">
        <v>1540</v>
      </c>
      <c r="D18">
        <v>5</v>
      </c>
      <c r="E18" s="6" t="str" cm="1">
        <f t="array" ref="E18">_xlfn.SWITCH(D18, 1, 95, 2, 110, 3, 129, 4, 156, 5, "157 and over", "Unknown")</f>
        <v>157 and over</v>
      </c>
    </row>
    <row r="19" spans="1:5">
      <c r="A19" t="s">
        <v>40</v>
      </c>
      <c r="B19" t="s">
        <v>41</v>
      </c>
      <c r="C19" s="3">
        <v>594</v>
      </c>
      <c r="D19">
        <v>1</v>
      </c>
      <c r="E19" s="6" cm="1">
        <f t="array" ref="E19">_xlfn.SWITCH(D19, 1, 95, 2, 110, 3, 129, 4, 156, 5, "157 and over", "Unknown")</f>
        <v>95</v>
      </c>
    </row>
    <row r="20" spans="1:5">
      <c r="A20" t="s">
        <v>42</v>
      </c>
      <c r="B20" t="s">
        <v>43</v>
      </c>
      <c r="C20" s="3">
        <v>6200</v>
      </c>
      <c r="D20">
        <v>5</v>
      </c>
      <c r="E20" s="6" t="str" cm="1">
        <f t="array" ref="E20">_xlfn.SWITCH(D20, 1, 95, 2, 110, 3, 129, 4, 156, 5, "157 and over", "Unknown")</f>
        <v>157 and over</v>
      </c>
    </row>
    <row r="21" spans="1:5">
      <c r="A21" t="s">
        <v>44</v>
      </c>
      <c r="B21" t="s">
        <v>45</v>
      </c>
      <c r="C21" s="3">
        <v>7660</v>
      </c>
      <c r="D21">
        <v>3</v>
      </c>
      <c r="E21" s="6" cm="1">
        <f t="array" ref="E21">_xlfn.SWITCH(D21, 1, 95, 2, 110, 3, 129, 4, 156, 5, "157 and over", "Unknown")</f>
        <v>129</v>
      </c>
    </row>
    <row r="22" spans="1:5">
      <c r="A22" t="s">
        <v>46</v>
      </c>
      <c r="B22" t="s">
        <v>47</v>
      </c>
      <c r="C22" s="3">
        <v>108000</v>
      </c>
      <c r="D22">
        <v>5</v>
      </c>
      <c r="E22" s="6" t="str" cm="1">
        <f t="array" ref="E22">_xlfn.SWITCH(D22, 1, 95, 2, 110, 3, 129, 4, 156, 5, "157 and over", "Unknown")</f>
        <v>157 and over</v>
      </c>
    </row>
    <row r="23" spans="1:5">
      <c r="A23" t="s">
        <v>48</v>
      </c>
      <c r="B23" t="s">
        <v>49</v>
      </c>
      <c r="C23" s="3">
        <v>3960</v>
      </c>
      <c r="D23">
        <v>1</v>
      </c>
      <c r="E23" s="6" cm="1">
        <f t="array" ref="E23">_xlfn.SWITCH(D23, 1, 95, 2, 110, 3, 129, 4, 156, 5, "157 and over", "Unknown")</f>
        <v>95</v>
      </c>
    </row>
    <row r="24" spans="1:5">
      <c r="A24" t="s">
        <v>50</v>
      </c>
      <c r="B24" t="s">
        <v>51</v>
      </c>
      <c r="C24" s="3">
        <v>300000</v>
      </c>
      <c r="D24">
        <v>5</v>
      </c>
      <c r="E24" s="6" t="str" cm="1">
        <f t="array" ref="E24">_xlfn.SWITCH(D24, 1, 95, 2, 110, 3, 129, 4, 156, 5, "157 and over", "Unknown")</f>
        <v>157 and over</v>
      </c>
    </row>
    <row r="25" spans="1:5">
      <c r="C25" s="3"/>
      <c r="E25" s="6" t="str" cm="1">
        <f t="array" ref="E25">_xlfn.SWITCH(D25, 1, 95, 2, 110, 3, 129, 4, 156, 5, "157 and over", "Unknown")</f>
        <v>Unknown</v>
      </c>
    </row>
    <row r="26" spans="1:5">
      <c r="C26" s="3"/>
      <c r="E26" s="6" t="str" cm="1">
        <f t="array" ref="E26">_xlfn.SWITCH(D26, 1, 95, 2, 110, 3, 129, 4, 156, 5, "157 and over", "Unknown")</f>
        <v>Unknown</v>
      </c>
    </row>
    <row r="27" spans="1:5">
      <c r="C27" s="3"/>
      <c r="E27" s="6" t="str" cm="1">
        <f t="array" ref="E27">_xlfn.SWITCH(D27, 1, 95, 2, 110, 3, 129, 4, 156, 5, "157 and over", "Unknown")</f>
        <v>Unknown</v>
      </c>
    </row>
    <row r="28" spans="1:5">
      <c r="C28" s="3"/>
      <c r="E28" s="6" t="str" cm="1">
        <f t="array" ref="E28">_xlfn.SWITCH(D28, 1, 95, 2, 110, 3, 129, 4, 156, 5, "157 and over", "Unknown")</f>
        <v>Unknown</v>
      </c>
    </row>
    <row r="29" spans="1:5">
      <c r="C29" s="3"/>
    </row>
    <row r="30" spans="1:5">
      <c r="C30" s="3"/>
    </row>
    <row r="31" spans="1:5">
      <c r="C31" s="3"/>
    </row>
    <row r="32" spans="1:5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7" ma:contentTypeDescription="Create a new document." ma:contentTypeScope="" ma:versionID="f42355eb97e938fa304a1120378bd2a9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8928ab8a26c392e31a06472b1e6c9dbd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4E24B2-8FB1-41D6-A0B3-EA0C5EC943D2}"/>
</file>

<file path=customXml/itemProps2.xml><?xml version="1.0" encoding="utf-8"?>
<ds:datastoreItem xmlns:ds="http://schemas.openxmlformats.org/officeDocument/2006/customXml" ds:itemID="{565BE06D-7989-4803-B23A-CF694DA2FE67}"/>
</file>

<file path=customXml/itemProps3.xml><?xml version="1.0" encoding="utf-8"?>
<ds:datastoreItem xmlns:ds="http://schemas.openxmlformats.org/officeDocument/2006/customXml" ds:itemID="{DCED2CD7-AB5E-404D-849A-F793ABBC6F67}"/>
</file>

<file path=customXml/itemProps4.xml><?xml version="1.0" encoding="utf-8"?>
<ds:datastoreItem xmlns:ds="http://schemas.openxmlformats.org/officeDocument/2006/customXml" ds:itemID="{00DA10D2-1FFF-490D-B4DA-8729470684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2017-10-17T14:59:20Z</dcterms:created>
  <dcterms:modified xsi:type="dcterms:W3CDTF">2025-11-18T14:41:03Z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</Properties>
</file>